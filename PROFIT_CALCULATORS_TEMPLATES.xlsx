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- Basic Calculator" sheetId="1" state="visible" r:id="rId1"/>
    <sheet name="Phase 2 - Cross-Platform" sheetId="2" state="visible" r:id="rId2"/>
    <sheet name="Phase 3 - Pokémon TCG" sheetId="3" state="visible" r:id="rId3"/>
    <sheet name="Scenario Analysis" sheetId="4" state="visible" r:id="rId4"/>
    <sheet name="Break-Even Analysis" sheetId="5" state="visible" r:id="rId5"/>
    <sheet name="12-Month Proj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4" borderId="0" pivotButton="0" quotePrefix="0" xfId="0"/>
    <xf numFmtId="10" fontId="0" fillId="4" borderId="0" pivotButton="0" quotePrefix="0" xfId="0"/>
    <xf numFmtId="164" fontId="0" fillId="5" borderId="0" pivotButton="0" quotePrefix="0" xfId="0"/>
    <xf numFmtId="164" fontId="3" fillId="6" borderId="0" pivotButton="0" quotePrefix="0" xfId="0"/>
    <xf numFmtId="10" fontId="3" fillId="6" borderId="0" pivotButton="0" quotePrefix="0" xfId="0"/>
    <xf numFmtId="10" fontId="0" fillId="6" borderId="0" pivotButton="0" quotePrefix="0" xfId="0"/>
    <xf numFmtId="10" fontId="0" fillId="5" borderId="0" pivotButton="0" quotePrefix="0" xfId="0"/>
    <xf numFmtId="0" fontId="0" fillId="5" borderId="0" pivotButton="0" quotePrefix="0" xfId="0"/>
    <xf numFmtId="0" fontId="0" fillId="4" borderId="0" pivotButton="0" quotePrefix="0" xfId="0"/>
    <xf numFmtId="164" fontId="3" fillId="5" borderId="0" pivotButton="0" quotePrefix="0" xfId="0"/>
    <xf numFmtId="164" fontId="4" fillId="6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PHASE 1: BASIC PROFIT CALCULATOR</t>
        </is>
      </c>
    </row>
    <row r="3">
      <c r="A3" s="2" t="inlineStr">
        <is>
          <t>COST INPUTS</t>
        </is>
      </c>
    </row>
    <row r="4">
      <c r="A4" t="inlineStr">
        <is>
          <t>Product Cost</t>
        </is>
      </c>
      <c r="B4" s="3" t="n">
        <v>0</v>
      </c>
    </row>
    <row r="5">
      <c r="A5" t="inlineStr">
        <is>
          <t>Shopify Platform Fee %</t>
        </is>
      </c>
      <c r="B5" s="4" t="n">
        <v>0.025</v>
      </c>
    </row>
    <row r="6">
      <c r="A6" t="inlineStr">
        <is>
          <t>Payment Processing % + Fixed</t>
        </is>
      </c>
      <c r="B6" s="4" t="n">
        <v>0.029</v>
      </c>
    </row>
    <row r="7">
      <c r="A7" t="inlineStr">
        <is>
          <t>Payment Processing Fixed Fee</t>
        </is>
      </c>
      <c r="B7" s="3" t="n">
        <v>0.3</v>
      </c>
    </row>
    <row r="8">
      <c r="A8" t="inlineStr">
        <is>
          <t>Shipping Cost to Customer</t>
        </is>
      </c>
      <c r="B8" s="3" t="n">
        <v>0</v>
      </c>
    </row>
    <row r="10">
      <c r="A10" s="2" t="inlineStr">
        <is>
          <t>REVENUE INPUTS</t>
        </is>
      </c>
    </row>
    <row r="11">
      <c r="A11" t="inlineStr">
        <is>
          <t>List Price</t>
        </is>
      </c>
      <c r="B11" s="3" t="n">
        <v>0</v>
      </c>
    </row>
    <row r="12">
      <c r="A12" t="inlineStr">
        <is>
          <t>Actual Sale Price</t>
        </is>
      </c>
      <c r="B12" s="3" t="n">
        <v>0</v>
      </c>
    </row>
    <row r="14">
      <c r="A14" s="2" t="inlineStr">
        <is>
          <t>CALCULATIONS</t>
        </is>
      </c>
    </row>
    <row r="15">
      <c r="A15" t="inlineStr">
        <is>
          <t>Shopify Platform Fee</t>
        </is>
      </c>
      <c r="B15" s="5">
        <f>B12*B5</f>
        <v/>
      </c>
    </row>
    <row r="16">
      <c r="A16" t="inlineStr">
        <is>
          <t>Payment Processing Fee</t>
        </is>
      </c>
      <c r="B16" s="5">
        <f>(B12*B6)+B7</f>
        <v/>
      </c>
    </row>
    <row r="17">
      <c r="A17" t="inlineStr">
        <is>
          <t>Total Fees &amp; COGS</t>
        </is>
      </c>
      <c r="B17" s="5">
        <f>B4+B16+B15+B8</f>
        <v/>
      </c>
    </row>
    <row r="19">
      <c r="A19" s="2" t="inlineStr">
        <is>
          <t>PROFIT ANALYSIS</t>
        </is>
      </c>
    </row>
    <row r="20">
      <c r="A20" t="inlineStr">
        <is>
          <t>Gross Profit</t>
        </is>
      </c>
      <c r="B20" s="6">
        <f>B12-B17</f>
        <v/>
      </c>
    </row>
    <row r="21">
      <c r="A21" t="inlineStr">
        <is>
          <t>Profit Margin %</t>
        </is>
      </c>
      <c r="B21" s="7">
        <f>IF(B12=0,0,B20/B12)</f>
        <v/>
      </c>
    </row>
    <row r="22">
      <c r="A22" t="inlineStr">
        <is>
          <t>ROI on Investment</t>
        </is>
      </c>
      <c r="B22" s="8">
        <f>IF(B4=0,0,B20/B4)</f>
        <v/>
      </c>
    </row>
    <row r="24">
      <c r="A24" s="2" t="inlineStr">
        <is>
          <t>BREAK-EVEN ANALYSIS</t>
        </is>
      </c>
    </row>
    <row r="25">
      <c r="A25" t="inlineStr">
        <is>
          <t>Break-Even Price (Fixed Costs)</t>
        </is>
      </c>
      <c r="B25" s="5">
        <f>B4+B8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PHASE 2: CROSS-PLATFORM ARBITRAGE CALCULATOR</t>
        </is>
      </c>
    </row>
    <row r="3">
      <c r="A3" s="2" t="inlineStr">
        <is>
          <t>STOCKX SOURCING</t>
        </is>
      </c>
    </row>
    <row r="4">
      <c r="A4" t="inlineStr">
        <is>
          <t>StockX Purchase Price</t>
        </is>
      </c>
      <c r="B4" s="3" t="n">
        <v>0</v>
      </c>
    </row>
    <row r="5">
      <c r="A5" t="inlineStr">
        <is>
          <t>StockX Seller Fee %</t>
        </is>
      </c>
      <c r="B5" s="4" t="n">
        <v>0.095</v>
      </c>
    </row>
    <row r="6">
      <c r="A6" t="inlineStr">
        <is>
          <t>Shipping to Resale Location</t>
        </is>
      </c>
      <c r="B6" s="3" t="n">
        <v>0</v>
      </c>
    </row>
    <row r="8">
      <c r="A8" s="2" t="inlineStr">
        <is>
          <t>GOAT SOURCING</t>
        </is>
      </c>
    </row>
    <row r="9">
      <c r="A9" t="inlineStr">
        <is>
          <t>GOAT Purchase Price</t>
        </is>
      </c>
      <c r="B9" s="3" t="n">
        <v>0</v>
      </c>
    </row>
    <row r="10">
      <c r="A10" t="inlineStr">
        <is>
          <t>GOAT Seller Fee %</t>
        </is>
      </c>
      <c r="B10" s="4" t="n">
        <v>0.09</v>
      </c>
    </row>
    <row r="12">
      <c r="A12" s="2" t="inlineStr">
        <is>
          <t>SHOPIFY RESALE</t>
        </is>
      </c>
    </row>
    <row r="13">
      <c r="A13" t="inlineStr">
        <is>
          <t>Shopify Sale Price</t>
        </is>
      </c>
      <c r="B13" s="3" t="n">
        <v>0</v>
      </c>
    </row>
    <row r="14">
      <c r="A14" t="inlineStr">
        <is>
          <t>Shopify Platform Fee %</t>
        </is>
      </c>
      <c r="B14" s="4" t="n">
        <v>0.025</v>
      </c>
    </row>
    <row r="15">
      <c r="A15" t="inlineStr">
        <is>
          <t>Payment Processing % + Fixed</t>
        </is>
      </c>
      <c r="B15" s="4" t="n">
        <v>0.029</v>
      </c>
    </row>
    <row r="16">
      <c r="A16" t="inlineStr">
        <is>
          <t>Payment Processing Fixed</t>
        </is>
      </c>
      <c r="B16" s="3" t="n">
        <v>0.3</v>
      </c>
    </row>
    <row r="17">
      <c r="A17" t="inlineStr">
        <is>
          <t>Shopify Fulfillment Cost</t>
        </is>
      </c>
      <c r="B17" s="3" t="n">
        <v>0</v>
      </c>
    </row>
    <row r="19">
      <c r="A19" s="2" t="inlineStr">
        <is>
          <t>SPREAD ANALYSIS</t>
        </is>
      </c>
    </row>
    <row r="20">
      <c r="A20" t="inlineStr">
        <is>
          <t>Price Spread (StockX vs Shopify)</t>
        </is>
      </c>
      <c r="B20" s="5">
        <f>B13-B4</f>
        <v/>
      </c>
    </row>
    <row r="21">
      <c r="A21" t="inlineStr">
        <is>
          <t>Spread % (Opportunity Size)</t>
        </is>
      </c>
      <c r="B21" s="9">
        <f>IF(B4=0,0,B20/B4)</f>
        <v/>
      </c>
    </row>
    <row r="22">
      <c r="A22" t="inlineStr">
        <is>
          <t>Minimum Spread Threshold</t>
        </is>
      </c>
      <c r="B22" s="3" t="n">
        <v>100</v>
      </c>
    </row>
    <row r="23">
      <c r="A23" t="inlineStr">
        <is>
          <t>Qualifies for Arbitrage?</t>
        </is>
      </c>
      <c r="B23" s="10">
        <f>IF(B20&gt;=B22,"YES","NO")</f>
        <v/>
      </c>
    </row>
    <row r="25">
      <c r="A25" s="2" t="inlineStr">
        <is>
          <t>NET PROFIT ANALYSIS</t>
        </is>
      </c>
    </row>
    <row r="26">
      <c r="A26" t="inlineStr">
        <is>
          <t>Total Cost of Goods</t>
        </is>
      </c>
      <c r="B26" s="5">
        <f>B4+(B4*B5)+B6</f>
        <v/>
      </c>
    </row>
    <row r="27">
      <c r="A27" t="inlineStr">
        <is>
          <t>Shopify Fees</t>
        </is>
      </c>
      <c r="B27" s="5">
        <f>(B13*B14)+((B13*B15)+B16)</f>
        <v/>
      </c>
    </row>
    <row r="28">
      <c r="A28" t="inlineStr">
        <is>
          <t>Total Fulfillment Costs</t>
        </is>
      </c>
      <c r="B28" s="5">
        <f>B17+B6</f>
        <v/>
      </c>
    </row>
    <row r="29">
      <c r="A29" t="inlineStr">
        <is>
          <t>Net Profit (All Fees)</t>
        </is>
      </c>
      <c r="B29" s="6">
        <f>B13-B26-B27-B28</f>
        <v/>
      </c>
    </row>
    <row r="30">
      <c r="A30" t="inlineStr">
        <is>
          <t>Profit Margin %</t>
        </is>
      </c>
      <c r="B30" s="7">
        <f>IF(B13=0,0,B29/B13)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PHASE 3: POKÉMON TCG SEALED PRODUCT CALCULATOR</t>
        </is>
      </c>
    </row>
    <row r="3">
      <c r="A3" s="2" t="inlineStr">
        <is>
          <t>SOURCING COSTS</t>
        </is>
      </c>
    </row>
    <row r="4">
      <c r="A4" t="inlineStr">
        <is>
          <t>Sealed Product Purchase Price</t>
        </is>
      </c>
      <c r="B4" s="3" t="n">
        <v>0</v>
      </c>
    </row>
    <row r="5">
      <c r="A5" t="inlineStr">
        <is>
          <t>Source Fee % (if applicable)</t>
        </is>
      </c>
      <c r="B5" s="4" t="n">
        <v>0.05</v>
      </c>
    </row>
    <row r="6">
      <c r="A6" t="inlineStr">
        <is>
          <t>Shipping to Grading Service</t>
        </is>
      </c>
      <c r="B6" s="3" t="n">
        <v>0</v>
      </c>
    </row>
    <row r="8">
      <c r="A8" s="2" t="inlineStr">
        <is>
          <t>GRADING SERVICE FEES</t>
        </is>
      </c>
    </row>
    <row r="9">
      <c r="A9" t="inlineStr">
        <is>
          <t>PSA Grading Fee</t>
        </is>
      </c>
      <c r="B9" s="3" t="n">
        <v>79.98999999999999</v>
      </c>
    </row>
    <row r="10">
      <c r="A10" t="inlineStr">
        <is>
          <t>CGC Grading Fee</t>
        </is>
      </c>
      <c r="B10" s="3" t="n">
        <v>15</v>
      </c>
    </row>
    <row r="11">
      <c r="A11" t="inlineStr">
        <is>
          <t>BGS Grading Fee</t>
        </is>
      </c>
      <c r="B11" s="3" t="n">
        <v>35</v>
      </c>
    </row>
    <row r="12">
      <c r="A12" t="inlineStr">
        <is>
          <t>Selected Grading Service Fee</t>
        </is>
      </c>
      <c r="B12" s="3" t="n">
        <v>0</v>
      </c>
    </row>
    <row r="13">
      <c r="A13" t="inlineStr">
        <is>
          <t>Return Shipping from Grader</t>
        </is>
      </c>
      <c r="B13" s="3" t="n">
        <v>0</v>
      </c>
    </row>
    <row r="15">
      <c r="A15" s="2" t="inlineStr">
        <is>
          <t>RESALE ASSUMPTIONS</t>
        </is>
      </c>
    </row>
    <row r="16">
      <c r="A16" t="inlineStr">
        <is>
          <t>Estimated StockX/eBay Resale Price</t>
        </is>
      </c>
      <c r="B16" s="3" t="n">
        <v>0</v>
      </c>
    </row>
    <row r="17">
      <c r="A17" t="inlineStr">
        <is>
          <t>StockX/eBay Fee %</t>
        </is>
      </c>
      <c r="B17" s="4" t="n">
        <v>0.105</v>
      </c>
    </row>
    <row r="18">
      <c r="A18" t="inlineStr">
        <is>
          <t>Shipping to Buyer</t>
        </is>
      </c>
      <c r="B18" s="3" t="n">
        <v>0</v>
      </c>
    </row>
    <row r="19">
      <c r="A19" t="inlineStr">
        <is>
          <t>Holding Period (Days)</t>
        </is>
      </c>
      <c r="B19" s="11" t="n">
        <v>30</v>
      </c>
    </row>
    <row r="20">
      <c r="A20" t="inlineStr">
        <is>
          <t>Storage Cost (Monthly)</t>
        </is>
      </c>
      <c r="B20" s="3" t="n">
        <v>0</v>
      </c>
    </row>
    <row r="22">
      <c r="A22" s="2" t="inlineStr">
        <is>
          <t>PROFIT ANALYSIS</t>
        </is>
      </c>
    </row>
    <row r="23">
      <c r="A23" t="inlineStr">
        <is>
          <t>Total Acquisition Cost</t>
        </is>
      </c>
      <c r="B23" s="5">
        <f>B4+(B4*B5)+B6</f>
        <v/>
      </c>
    </row>
    <row r="24">
      <c r="A24" t="inlineStr">
        <is>
          <t>Total Grading Cost</t>
        </is>
      </c>
      <c r="B24" s="5">
        <f>B12+B13</f>
        <v/>
      </c>
    </row>
    <row r="25">
      <c r="A25" t="inlineStr">
        <is>
          <t>Holding Period Cost</t>
        </is>
      </c>
      <c r="B25" s="5">
        <f>(B19/30)*B20</f>
        <v/>
      </c>
    </row>
    <row r="26">
      <c r="A26" t="inlineStr">
        <is>
          <t>Total Investment</t>
        </is>
      </c>
      <c r="B26" s="12">
        <f>B23+B24+B25</f>
        <v/>
      </c>
    </row>
    <row r="28">
      <c r="A28" t="inlineStr">
        <is>
          <t>Resale Marketplace Fee</t>
        </is>
      </c>
      <c r="B28" s="5">
        <f>B16*B17</f>
        <v/>
      </c>
    </row>
    <row r="29">
      <c r="A29" t="inlineStr">
        <is>
          <t>Net Resale Proceeds</t>
        </is>
      </c>
      <c r="B29" s="5">
        <f>B16-B28-B18</f>
        <v/>
      </c>
    </row>
    <row r="31">
      <c r="A31" t="inlineStr">
        <is>
          <t>NET PROFIT</t>
        </is>
      </c>
      <c r="B31" s="13">
        <f>B29-B26</f>
        <v/>
      </c>
    </row>
    <row r="32">
      <c r="A32" t="inlineStr">
        <is>
          <t>Profit Margin %</t>
        </is>
      </c>
      <c r="B32" s="7">
        <f>IF(B16=0,0,B31/B16)</f>
        <v/>
      </c>
    </row>
    <row r="33">
      <c r="A33" t="inlineStr">
        <is>
          <t>ROI on Total Investment</t>
        </is>
      </c>
      <c r="B33" s="8">
        <f>IF(B26=0,0,B31/B26)</f>
        <v/>
      </c>
    </row>
    <row r="34">
      <c r="A34" t="inlineStr">
        <is>
          <t>Annualized ROI (365 days)</t>
        </is>
      </c>
      <c r="B34" s="8">
        <f>IF(B19=0,0,B33*(365/B19))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ANALYSIS - 12 MONTH PROJECTION</t>
        </is>
      </c>
    </row>
    <row r="3">
      <c r="A3" s="2" t="inlineStr">
        <is>
          <t>CONSERVATIVE CASE</t>
        </is>
      </c>
    </row>
    <row r="4">
      <c r="A4" t="inlineStr">
        <is>
          <t>Assumed Profit Margin</t>
        </is>
      </c>
      <c r="B4" s="4" t="n">
        <v>0.5</v>
      </c>
    </row>
    <row r="5">
      <c r="A5" t="inlineStr">
        <is>
          <t>Average Profit per Deal</t>
        </is>
      </c>
      <c r="B5" s="3" t="n">
        <v>0</v>
      </c>
    </row>
    <row r="6">
      <c r="A6" t="inlineStr">
        <is>
          <t>Deals per Day</t>
        </is>
      </c>
      <c r="B6" s="11" t="n">
        <v>2</v>
      </c>
    </row>
    <row r="7">
      <c r="A7" t="inlineStr">
        <is>
          <t>Working Days per Month</t>
        </is>
      </c>
      <c r="B7" s="11" t="n">
        <v>22</v>
      </c>
    </row>
    <row r="8">
      <c r="A8" t="inlineStr">
        <is>
          <t>Monthly Profit</t>
        </is>
      </c>
      <c r="B8" s="12">
        <f>B5*B6*B7</f>
        <v/>
      </c>
    </row>
    <row r="9">
      <c r="A9" t="inlineStr">
        <is>
          <t>Quarterly Profit</t>
        </is>
      </c>
      <c r="B9" s="5">
        <f>B8*3</f>
        <v/>
      </c>
    </row>
    <row r="10">
      <c r="A10" t="inlineStr">
        <is>
          <t>Annual Profit</t>
        </is>
      </c>
      <c r="B10" s="13">
        <f>B8*12</f>
        <v/>
      </c>
    </row>
    <row r="12">
      <c r="A12" s="2" t="inlineStr">
        <is>
          <t>REALISTIC CASE</t>
        </is>
      </c>
    </row>
    <row r="13">
      <c r="A13" t="inlineStr">
        <is>
          <t>Assumed Profit Margin</t>
        </is>
      </c>
      <c r="C13" s="4" t="n">
        <v>0.65</v>
      </c>
    </row>
    <row r="14">
      <c r="A14" t="inlineStr">
        <is>
          <t>Average Profit per Deal</t>
        </is>
      </c>
      <c r="C14" s="3" t="n">
        <v>0</v>
      </c>
    </row>
    <row r="15">
      <c r="A15" t="inlineStr">
        <is>
          <t>Deals per Day</t>
        </is>
      </c>
      <c r="C15" s="11" t="n">
        <v>3</v>
      </c>
    </row>
    <row r="16">
      <c r="A16" t="inlineStr">
        <is>
          <t>Working Days per Month</t>
        </is>
      </c>
      <c r="C16" s="11" t="n">
        <v>22</v>
      </c>
    </row>
    <row r="17">
      <c r="A17" t="inlineStr">
        <is>
          <t>Monthly Profit</t>
        </is>
      </c>
      <c r="C17" s="12">
        <f>C14*C15*C16</f>
        <v/>
      </c>
    </row>
    <row r="18">
      <c r="A18" t="inlineStr">
        <is>
          <t>Quarterly Profit</t>
        </is>
      </c>
      <c r="C18" s="5">
        <f>C17*3</f>
        <v/>
      </c>
    </row>
    <row r="19">
      <c r="A19" t="inlineStr">
        <is>
          <t>Annual Profit</t>
        </is>
      </c>
      <c r="C19" s="13">
        <f>C17*12</f>
        <v/>
      </c>
    </row>
    <row r="21">
      <c r="A21" s="2" t="inlineStr">
        <is>
          <t>AGGRESSIVE CASE</t>
        </is>
      </c>
    </row>
    <row r="22">
      <c r="A22" t="inlineStr">
        <is>
          <t>Assumed Profit Margin</t>
        </is>
      </c>
      <c r="D22" s="4" t="n">
        <v>0.75</v>
      </c>
    </row>
    <row r="23">
      <c r="A23" t="inlineStr">
        <is>
          <t>Average Profit per Deal</t>
        </is>
      </c>
      <c r="D23" s="3" t="n">
        <v>0</v>
      </c>
    </row>
    <row r="24">
      <c r="A24" t="inlineStr">
        <is>
          <t>Deals per Day</t>
        </is>
      </c>
      <c r="D24" s="11" t="n">
        <v>5</v>
      </c>
    </row>
    <row r="25">
      <c r="A25" t="inlineStr">
        <is>
          <t>Working Days per Month</t>
        </is>
      </c>
      <c r="D25" s="11" t="n">
        <v>22</v>
      </c>
    </row>
    <row r="26">
      <c r="A26" t="inlineStr">
        <is>
          <t>Monthly Profit</t>
        </is>
      </c>
      <c r="D26" s="12">
        <f>D23*D24*D25</f>
        <v/>
      </c>
    </row>
    <row r="27">
      <c r="A27" t="inlineStr">
        <is>
          <t>Quarterly Profit</t>
        </is>
      </c>
      <c r="D27" s="5">
        <f>D26*3</f>
        <v/>
      </c>
    </row>
    <row r="28">
      <c r="A28" t="inlineStr">
        <is>
          <t>Annual Profit</t>
        </is>
      </c>
      <c r="D28" s="13">
        <f>D26*12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BREAK-EVEN &amp; ROI ANALYSIS</t>
        </is>
      </c>
    </row>
    <row r="3">
      <c r="A3" s="2" t="inlineStr">
        <is>
          <t>DAILY BREAK-EVEN ANALYSIS</t>
        </is>
      </c>
    </row>
    <row r="4">
      <c r="A4" t="inlineStr">
        <is>
          <t>Target Hourly Rate ($/hr)</t>
        </is>
      </c>
      <c r="B4" s="3" t="n">
        <v>50</v>
      </c>
    </row>
    <row r="5">
      <c r="A5" t="inlineStr">
        <is>
          <t>Working Hours per Day</t>
        </is>
      </c>
      <c r="B5" s="11" t="n">
        <v>8</v>
      </c>
    </row>
    <row r="6">
      <c r="A6" t="inlineStr">
        <is>
          <t>Daily Income Target</t>
        </is>
      </c>
      <c r="B6" s="12">
        <f>B4*B5</f>
        <v/>
      </c>
    </row>
    <row r="7">
      <c r="A7" t="inlineStr">
        <is>
          <t>Average Profit per Deal</t>
        </is>
      </c>
      <c r="B7" s="3" t="n">
        <v>0</v>
      </c>
    </row>
    <row r="8">
      <c r="A8" t="inlineStr">
        <is>
          <t>Deals Required per Day</t>
        </is>
      </c>
      <c r="B8" s="14">
        <f>IF(B7=0,0,B6/B7)</f>
        <v/>
      </c>
    </row>
    <row r="10">
      <c r="A10" s="2" t="inlineStr">
        <is>
          <t>AUTOMATION/SUBSCRIPTION ROI</t>
        </is>
      </c>
    </row>
    <row r="11">
      <c r="A11" t="inlineStr">
        <is>
          <t>Monthly Automation Cost (Zapier, Make, etc.)</t>
        </is>
      </c>
      <c r="B11" s="3" t="n">
        <v>0</v>
      </c>
    </row>
    <row r="12">
      <c r="A12" t="inlineStr">
        <is>
          <t>Initial Automation Setup Cost</t>
        </is>
      </c>
      <c r="B12" s="3" t="n">
        <v>0</v>
      </c>
    </row>
    <row r="13">
      <c r="A13" t="inlineStr">
        <is>
          <t>Time Saved per Deal (minutes)</t>
        </is>
      </c>
      <c r="B13" s="11" t="n">
        <v>0</v>
      </c>
    </row>
    <row r="14">
      <c r="A14" t="inlineStr">
        <is>
          <t>Deals per Month</t>
        </is>
      </c>
      <c r="B14" s="11" t="n">
        <v>0</v>
      </c>
    </row>
    <row r="15">
      <c r="A15" t="inlineStr">
        <is>
          <t>Total Minutes Saved per Month</t>
        </is>
      </c>
      <c r="B15" s="10">
        <f>B13*B14</f>
        <v/>
      </c>
    </row>
    <row r="16">
      <c r="A16" t="inlineStr">
        <is>
          <t>Hours Saved per Month</t>
        </is>
      </c>
      <c r="B16" s="10">
        <f>B15/60</f>
        <v/>
      </c>
    </row>
    <row r="17">
      <c r="A17" t="inlineStr">
        <is>
          <t>Value of Time Saved (at $50/hr)</t>
        </is>
      </c>
      <c r="B17" s="12">
        <f>B16*50</f>
        <v/>
      </c>
    </row>
    <row r="18">
      <c r="A18" t="inlineStr">
        <is>
          <t>Monthly Net Benefit</t>
        </is>
      </c>
      <c r="B18" s="6">
        <f>B17-B11</f>
        <v/>
      </c>
    </row>
    <row r="19">
      <c r="A19" t="inlineStr">
        <is>
          <t>Payback Period (Months)</t>
        </is>
      </c>
      <c r="B19" s="15">
        <f>IF(B18=0,"N/A",IF(B18&gt;0,B12/B18,"N/A"))</f>
        <v/>
      </c>
    </row>
    <row r="21">
      <c r="A21" s="2" t="inlineStr">
        <is>
          <t>CAPITAL INVESTMENT BREAK-EVEN</t>
        </is>
      </c>
    </row>
    <row r="22">
      <c r="A22" t="inlineStr">
        <is>
          <t>Initial Capital Required</t>
        </is>
      </c>
      <c r="B22" s="3" t="n">
        <v>0</v>
      </c>
    </row>
    <row r="23">
      <c r="A23" t="inlineStr">
        <is>
          <t>Average Monthly Profit</t>
        </is>
      </c>
      <c r="B23" s="3" t="n">
        <v>0</v>
      </c>
    </row>
    <row r="24">
      <c r="A24" t="inlineStr">
        <is>
          <t>Months to Break-Even</t>
        </is>
      </c>
      <c r="B24" s="14">
        <f>IF(B23=0,"N/A",B22/B23)</f>
        <v/>
      </c>
    </row>
    <row r="25">
      <c r="A25" t="inlineStr">
        <is>
          <t>Annual Profit at Break-Even</t>
        </is>
      </c>
      <c r="B25" s="16">
        <f>B23*12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12-MONTH PROFIT PROJECTION</t>
        </is>
      </c>
    </row>
    <row r="3">
      <c r="A3" s="17" t="inlineStr">
        <is>
          <t>Month</t>
        </is>
      </c>
      <c r="B3" s="17" t="inlineStr">
        <is>
          <t>Conservative Case</t>
        </is>
      </c>
      <c r="C3" s="17" t="inlineStr">
        <is>
          <t>Realistic Case</t>
        </is>
      </c>
      <c r="D3" s="17" t="inlineStr">
        <is>
          <t>Aggressive Case</t>
        </is>
      </c>
      <c r="E3" s="17" t="inlineStr">
        <is>
          <t>Average Projection</t>
        </is>
      </c>
    </row>
    <row r="4">
      <c r="A4" t="inlineStr">
        <is>
          <t>January</t>
        </is>
      </c>
      <c r="B4" s="18">
        <f>'Scenario Analysis'!$B$8</f>
        <v/>
      </c>
      <c r="C4" s="18">
        <f>'Scenario Analysis'!$C$17</f>
        <v/>
      </c>
      <c r="D4" s="18">
        <f>'Scenario Analysis'!$D$26</f>
        <v/>
      </c>
      <c r="E4" s="18">
        <f>(B4+C4+D4)/3</f>
        <v/>
      </c>
    </row>
    <row r="5">
      <c r="A5" t="inlineStr">
        <is>
          <t>February</t>
        </is>
      </c>
      <c r="B5" s="18">
        <f>'Scenario Analysis'!$B$8</f>
        <v/>
      </c>
      <c r="C5" s="18">
        <f>'Scenario Analysis'!$C$17</f>
        <v/>
      </c>
      <c r="D5" s="18">
        <f>'Scenario Analysis'!$D$26</f>
        <v/>
      </c>
      <c r="E5" s="18">
        <f>(B5+C5+D5)/3</f>
        <v/>
      </c>
    </row>
    <row r="6">
      <c r="A6" t="inlineStr">
        <is>
          <t>March</t>
        </is>
      </c>
      <c r="B6" s="18">
        <f>'Scenario Analysis'!$B$8</f>
        <v/>
      </c>
      <c r="C6" s="18">
        <f>'Scenario Analysis'!$C$17</f>
        <v/>
      </c>
      <c r="D6" s="18">
        <f>'Scenario Analysis'!$D$26</f>
        <v/>
      </c>
      <c r="E6" s="18">
        <f>(B6+C6+D6)/3</f>
        <v/>
      </c>
    </row>
    <row r="7">
      <c r="A7" t="inlineStr">
        <is>
          <t>April</t>
        </is>
      </c>
      <c r="B7" s="18">
        <f>'Scenario Analysis'!$B$8</f>
        <v/>
      </c>
      <c r="C7" s="18">
        <f>'Scenario Analysis'!$C$17</f>
        <v/>
      </c>
      <c r="D7" s="18">
        <f>'Scenario Analysis'!$D$26</f>
        <v/>
      </c>
      <c r="E7" s="18">
        <f>(B7+C7+D7)/3</f>
        <v/>
      </c>
    </row>
    <row r="8">
      <c r="A8" t="inlineStr">
        <is>
          <t>May</t>
        </is>
      </c>
      <c r="B8" s="18">
        <f>'Scenario Analysis'!$B$8</f>
        <v/>
      </c>
      <c r="C8" s="18">
        <f>'Scenario Analysis'!$C$17</f>
        <v/>
      </c>
      <c r="D8" s="18">
        <f>'Scenario Analysis'!$D$26</f>
        <v/>
      </c>
      <c r="E8" s="18">
        <f>(B8+C8+D8)/3</f>
        <v/>
      </c>
    </row>
    <row r="9">
      <c r="A9" t="inlineStr">
        <is>
          <t>June</t>
        </is>
      </c>
      <c r="B9" s="18">
        <f>'Scenario Analysis'!$B$8</f>
        <v/>
      </c>
      <c r="C9" s="18">
        <f>'Scenario Analysis'!$C$17</f>
        <v/>
      </c>
      <c r="D9" s="18">
        <f>'Scenario Analysis'!$D$26</f>
        <v/>
      </c>
      <c r="E9" s="18">
        <f>(B9+C9+D9)/3</f>
        <v/>
      </c>
    </row>
    <row r="10">
      <c r="A10" t="inlineStr">
        <is>
          <t>July</t>
        </is>
      </c>
      <c r="B10" s="18">
        <f>'Scenario Analysis'!$B$8</f>
        <v/>
      </c>
      <c r="C10" s="18">
        <f>'Scenario Analysis'!$C$17</f>
        <v/>
      </c>
      <c r="D10" s="18">
        <f>'Scenario Analysis'!$D$26</f>
        <v/>
      </c>
      <c r="E10" s="18">
        <f>(B10+C10+D10)/3</f>
        <v/>
      </c>
    </row>
    <row r="11">
      <c r="A11" t="inlineStr">
        <is>
          <t>August</t>
        </is>
      </c>
      <c r="B11" s="18">
        <f>'Scenario Analysis'!$B$8</f>
        <v/>
      </c>
      <c r="C11" s="18">
        <f>'Scenario Analysis'!$C$17</f>
        <v/>
      </c>
      <c r="D11" s="18">
        <f>'Scenario Analysis'!$D$26</f>
        <v/>
      </c>
      <c r="E11" s="18">
        <f>(B11+C11+D11)/3</f>
        <v/>
      </c>
    </row>
    <row r="12">
      <c r="A12" t="inlineStr">
        <is>
          <t>September</t>
        </is>
      </c>
      <c r="B12" s="18">
        <f>'Scenario Analysis'!$B$8</f>
        <v/>
      </c>
      <c r="C12" s="18">
        <f>'Scenario Analysis'!$C$17</f>
        <v/>
      </c>
      <c r="D12" s="18">
        <f>'Scenario Analysis'!$D$26</f>
        <v/>
      </c>
      <c r="E12" s="18">
        <f>(B12+C12+D12)/3</f>
        <v/>
      </c>
    </row>
    <row r="13">
      <c r="A13" t="inlineStr">
        <is>
          <t>October</t>
        </is>
      </c>
      <c r="B13" s="18">
        <f>'Scenario Analysis'!$B$8</f>
        <v/>
      </c>
      <c r="C13" s="18">
        <f>'Scenario Analysis'!$C$17</f>
        <v/>
      </c>
      <c r="D13" s="18">
        <f>'Scenario Analysis'!$D$26</f>
        <v/>
      </c>
      <c r="E13" s="18">
        <f>(B13+C13+D13)/3</f>
        <v/>
      </c>
    </row>
    <row r="14">
      <c r="A14" t="inlineStr">
        <is>
          <t>November</t>
        </is>
      </c>
      <c r="B14" s="18">
        <f>'Scenario Analysis'!$B$8</f>
        <v/>
      </c>
      <c r="C14" s="18">
        <f>'Scenario Analysis'!$C$17</f>
        <v/>
      </c>
      <c r="D14" s="18">
        <f>'Scenario Analysis'!$D$26</f>
        <v/>
      </c>
      <c r="E14" s="18">
        <f>(B14+C14+D14)/3</f>
        <v/>
      </c>
    </row>
    <row r="15">
      <c r="A15" t="inlineStr">
        <is>
          <t>December</t>
        </is>
      </c>
      <c r="B15" s="18">
        <f>'Scenario Analysis'!$B$8</f>
        <v/>
      </c>
      <c r="C15" s="18">
        <f>'Scenario Analysis'!$C$17</f>
        <v/>
      </c>
      <c r="D15" s="18">
        <f>'Scenario Analysis'!$D$26</f>
        <v/>
      </c>
      <c r="E15" s="18">
        <f>(B15+C15+D15)/3</f>
        <v/>
      </c>
    </row>
    <row r="17">
      <c r="A17" s="2" t="inlineStr">
        <is>
          <t>CUMULATIVE TOTALS</t>
        </is>
      </c>
    </row>
    <row r="18">
      <c r="A18" t="inlineStr">
        <is>
          <t>6-Month Total</t>
        </is>
      </c>
      <c r="B18" s="6">
        <f>SUM(B4:B9)</f>
        <v/>
      </c>
      <c r="C18" s="6">
        <f>SUM(C4:C9)</f>
        <v/>
      </c>
      <c r="D18" s="6">
        <f>SUM(D4:D9)</f>
        <v/>
      </c>
      <c r="E18" s="6">
        <f>SUM(E4:E9)</f>
        <v/>
      </c>
    </row>
    <row r="19">
      <c r="A19" t="inlineStr">
        <is>
          <t>12-Month Total</t>
        </is>
      </c>
      <c r="B19" s="13">
        <f>SUM(B4:B15)</f>
        <v/>
      </c>
      <c r="C19" s="13">
        <f>SUM(C4:C15)</f>
        <v/>
      </c>
      <c r="D19" s="13">
        <f>SUM(D4:D15)</f>
        <v/>
      </c>
      <c r="E19" s="13">
        <f>SUM(E4:E15)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2026-09-22T09:51:01Z</dcterms:created>
  <dcterms:modified xsi:type="dcterms:W3CDTF">2026-09-22T09:51:01Z</dcterms:modified>
</cp:coreProperties>
</file>